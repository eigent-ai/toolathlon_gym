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Q3 Budget Variance Analysis</t>
        </is>
      </c>
    </row>
    <row r="3">
      <c r="A3" s="2" t="inlineStr">
        <is>
          <t>Cost Center</t>
        </is>
      </c>
      <c r="B3" s="2" t="inlineStr">
        <is>
          <t>Dept</t>
        </is>
      </c>
      <c r="C3" s="2" t="inlineStr">
        <is>
          <t>Category</t>
        </is>
      </c>
      <c r="D3" s="2" t="inlineStr">
        <is>
          <t>Budget YTD</t>
        </is>
      </c>
      <c r="E3" s="2" t="inlineStr">
        <is>
          <t>Actual YTD</t>
        </is>
      </c>
      <c r="F3" s="2" t="inlineStr">
        <is>
          <t>Variance $</t>
        </is>
      </c>
      <c r="G3" s="2" t="inlineStr">
        <is>
          <t>Variance %</t>
        </is>
      </c>
      <c r="H3" s="2" t="inlineStr">
        <is>
          <t>Status</t>
        </is>
      </c>
    </row>
    <row r="4">
      <c r="A4" t="n">
        <v>10</v>
      </c>
      <c r="B4" t="inlineStr">
        <is>
          <t>Operations</t>
        </is>
      </c>
      <c r="C4" t="inlineStr">
        <is>
          <t>Salaries</t>
        </is>
      </c>
      <c r="D4" t="n">
        <v>1800000</v>
      </c>
      <c r="E4" t="n">
        <v>1785000</v>
      </c>
      <c r="F4" t="n">
        <v>-15000</v>
      </c>
      <c r="G4" t="n">
        <v>-0.8</v>
      </c>
      <c r="H4" s="3" t="inlineStr">
        <is>
          <t>Favorable</t>
        </is>
      </c>
    </row>
    <row r="5">
      <c r="A5" t="n">
        <v>10</v>
      </c>
      <c r="B5" t="inlineStr">
        <is>
          <t>Operations</t>
        </is>
      </c>
      <c r="C5" t="inlineStr">
        <is>
          <t>Benefits</t>
        </is>
      </c>
      <c r="D5" t="n">
        <v>360000</v>
      </c>
      <c r="E5" t="n">
        <v>372000</v>
      </c>
      <c r="F5" t="n">
        <v>12000</v>
      </c>
      <c r="G5" t="n">
        <v>3.3</v>
      </c>
      <c r="H5" s="4" t="inlineStr">
        <is>
          <t>Unfavorable</t>
        </is>
      </c>
    </row>
    <row r="6">
      <c r="A6" t="n">
        <v>10</v>
      </c>
      <c r="B6" t="inlineStr">
        <is>
          <t>Operations</t>
        </is>
      </c>
      <c r="C6" t="inlineStr">
        <is>
          <t>Supplies</t>
        </is>
      </c>
      <c r="D6" t="n">
        <v>180000</v>
      </c>
      <c r="E6" t="n">
        <v>198000</v>
      </c>
      <c r="F6" t="n">
        <v>18000</v>
      </c>
      <c r="G6" t="n">
        <v>10</v>
      </c>
      <c r="H6" s="4" t="inlineStr">
        <is>
          <t>Unfavorable</t>
        </is>
      </c>
    </row>
    <row r="7">
      <c r="A7" t="n">
        <v>20</v>
      </c>
      <c r="B7" t="inlineStr">
        <is>
          <t>Sales</t>
        </is>
      </c>
      <c r="C7" t="inlineStr">
        <is>
          <t>Salaries</t>
        </is>
      </c>
      <c r="D7" t="n">
        <v>1350000</v>
      </c>
      <c r="E7" t="n">
        <v>1350000</v>
      </c>
      <c r="F7" t="n">
        <v>0</v>
      </c>
      <c r="G7" t="n">
        <v>0</v>
      </c>
      <c r="H7" t="inlineStr">
        <is>
          <t>On Budget</t>
        </is>
      </c>
    </row>
    <row r="8">
      <c r="A8" t="n">
        <v>20</v>
      </c>
      <c r="B8" t="inlineStr">
        <is>
          <t>Sales</t>
        </is>
      </c>
      <c r="C8" t="inlineStr">
        <is>
          <t>Commissions</t>
        </is>
      </c>
      <c r="D8" t="n">
        <v>675000</v>
      </c>
      <c r="E8" t="n">
        <v>742500</v>
      </c>
      <c r="F8" t="n">
        <v>67500</v>
      </c>
      <c r="G8" t="n">
        <v>10</v>
      </c>
      <c r="H8" s="4" t="inlineStr">
        <is>
          <t>Unfavorable</t>
        </is>
      </c>
    </row>
    <row r="9">
      <c r="A9" t="n">
        <v>20</v>
      </c>
      <c r="B9" t="inlineStr">
        <is>
          <t>Sales</t>
        </is>
      </c>
      <c r="C9" t="inlineStr">
        <is>
          <t>Travel</t>
        </is>
      </c>
      <c r="D9" t="n">
        <v>270000</v>
      </c>
      <c r="E9" t="n">
        <v>261000</v>
      </c>
      <c r="F9" t="n">
        <v>-9000</v>
      </c>
      <c r="G9" t="n">
        <v>-3.3</v>
      </c>
      <c r="H9" s="3" t="inlineStr">
        <is>
          <t>Favorable</t>
        </is>
      </c>
    </row>
    <row r="10">
      <c r="A10" t="n">
        <v>30</v>
      </c>
      <c r="B10" t="inlineStr">
        <is>
          <t>Marketing</t>
        </is>
      </c>
      <c r="C10" t="inlineStr">
        <is>
          <t>Salaries</t>
        </is>
      </c>
      <c r="D10" t="n">
        <v>450000</v>
      </c>
      <c r="E10" t="n">
        <v>450000</v>
      </c>
      <c r="F10" t="n">
        <v>0</v>
      </c>
      <c r="G10" t="n">
        <v>0</v>
      </c>
      <c r="H10" t="inlineStr">
        <is>
          <t>On Budget</t>
        </is>
      </c>
    </row>
    <row r="11">
      <c r="A11" t="n">
        <v>30</v>
      </c>
      <c r="B11" t="inlineStr">
        <is>
          <t>Marketing</t>
        </is>
      </c>
      <c r="C11" t="inlineStr">
        <is>
          <t>Campaigns</t>
        </is>
      </c>
      <c r="D11" t="n">
        <v>900000</v>
      </c>
      <c r="E11" t="n">
        <v>945000</v>
      </c>
      <c r="F11" t="n">
        <v>45000</v>
      </c>
      <c r="G11" t="n">
        <v>5</v>
      </c>
      <c r="H11" s="4" t="inlineStr">
        <is>
          <t>Unfavorable</t>
        </is>
      </c>
    </row>
    <row r="12">
      <c r="A12" t="n">
        <v>40</v>
      </c>
      <c r="B12" t="inlineStr">
        <is>
          <t>IT</t>
        </is>
      </c>
      <c r="C12" t="inlineStr">
        <is>
          <t>Salaries</t>
        </is>
      </c>
      <c r="D12" t="n">
        <v>600000</v>
      </c>
      <c r="E12" t="n">
        <v>600000</v>
      </c>
      <c r="F12" t="n">
        <v>0</v>
      </c>
      <c r="G12" t="n">
        <v>0</v>
      </c>
      <c r="H12" t="inlineStr">
        <is>
          <t>On Budget</t>
        </is>
      </c>
    </row>
    <row r="13">
      <c r="A13" t="n">
        <v>40</v>
      </c>
      <c r="B13" t="inlineStr">
        <is>
          <t>IT</t>
        </is>
      </c>
      <c r="C13" t="inlineStr">
        <is>
          <t>Infrastructure</t>
        </is>
      </c>
      <c r="D13" t="n">
        <v>300000</v>
      </c>
      <c r="E13" t="n">
        <v>315000</v>
      </c>
      <c r="F13" t="n">
        <v>15000</v>
      </c>
      <c r="G13" t="n">
        <v>5</v>
      </c>
      <c r="H13" s="4" t="inlineStr">
        <is>
          <t>Unfavorable</t>
        </is>
      </c>
    </row>
    <row r="16">
      <c r="A16" s="5" t="inlineStr">
        <is>
          <t>Summary Metrics</t>
        </is>
      </c>
    </row>
    <row r="17">
      <c r="A17" t="inlineStr">
        <is>
          <t>Total Budget YTD</t>
        </is>
      </c>
      <c r="B17">
        <f>SUM(D4:D13)</f>
        <v/>
      </c>
    </row>
    <row r="18">
      <c r="A18" t="inlineStr">
        <is>
          <t>Total Actual YTD</t>
        </is>
      </c>
      <c r="B18">
        <f>SUM(E4:E13)</f>
        <v/>
      </c>
    </row>
    <row r="19">
      <c r="A19" t="inlineStr">
        <is>
          <t>Total Variance</t>
        </is>
      </c>
      <c r="B19">
        <f>B18-B17</f>
        <v/>
      </c>
    </row>
    <row r="20">
      <c r="A20" t="inlineStr">
        <is>
          <t>Overall Variance %</t>
        </is>
      </c>
      <c r="B20">
        <f>B19/B17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2026-03-07T15:02:03Z</dcterms:created>
  <dcterms:modified xmlns:dcterms="http://purl.org/dc/terms/" xmlns:xsi="http://www.w3.org/2001/XMLSchema-instance" xsi:type="dcterms:W3CDTF">2026-03-07T15:02:03Z</dcterms:modified>
</cp:coreProperties>
</file>